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h\Desktop\Seminar - Econometric Models in Finance\Model\Data\"/>
    </mc:Choice>
  </mc:AlternateContent>
  <xr:revisionPtr revIDLastSave="0" documentId="13_ncr:1_{AA760F73-FCD9-4F36-932D-2DDC6917C28D}" xr6:coauthVersionLast="47" xr6:coauthVersionMax="47" xr10:uidLastSave="{00000000-0000-0000-0000-000000000000}"/>
  <bookViews>
    <workbookView xWindow="-108" yWindow="-108" windowWidth="23256" windowHeight="12456" xr2:uid="{9BB601C4-3A93-4163-9E30-1501F6A8BCB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</calcChain>
</file>

<file path=xl/sharedStrings.xml><?xml version="1.0" encoding="utf-8"?>
<sst xmlns="http://schemas.openxmlformats.org/spreadsheetml/2006/main" count="80" uniqueCount="80">
  <si>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</si>
  <si>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</si>
  <si>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</si>
  <si>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</si>
  <si>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</si>
  <si>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</si>
  <si>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</si>
  <si>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</si>
  <si>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</si>
  <si>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</si>
  <si>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</si>
  <si>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</si>
  <si>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</si>
  <si>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</si>
  <si>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</si>
  <si>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</si>
  <si>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</si>
  <si>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</si>
  <si>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</si>
  <si>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</si>
  <si>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</si>
  <si>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</si>
  <si>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</si>
  <si>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</si>
  <si>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</si>
  <si>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</si>
  <si>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</si>
  <si>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</si>
  <si>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</si>
  <si>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</si>
  <si>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</si>
  <si>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</si>
  <si>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</si>
  <si>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</si>
  <si>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</si>
  <si>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</si>
  <si>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</si>
  <si>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</si>
  <si>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</si>
  <si>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</si>
  <si>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</si>
  <si>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</si>
  <si>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</si>
  <si>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</si>
  <si>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</si>
  <si>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</si>
  <si>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</si>
  <si>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</si>
  <si>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</si>
  <si>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</si>
  <si>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</si>
  <si>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</si>
  <si>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</si>
  <si>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</si>
  <si>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</si>
  <si>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</si>
  <si>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</si>
  <si>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</si>
  <si>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</si>
  <si>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</si>
  <si>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</si>
  <si>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</si>
  <si>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</si>
  <si>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</si>
  <si>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</si>
  <si>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y1</t>
  </si>
  <si>
    <t>y5</t>
  </si>
  <si>
    <t>y10</t>
  </si>
  <si>
    <t>y20</t>
  </si>
  <si>
    <t>y30</t>
  </si>
  <si>
    <t>date</t>
  </si>
  <si>
    <t>di</t>
  </si>
  <si>
    <t>y2</t>
  </si>
  <si>
    <t>y7</t>
  </si>
  <si>
    <t>m3</t>
  </si>
  <si>
    <t>mo3</t>
  </si>
  <si>
    <t>opr</t>
  </si>
  <si>
    <t>dm3</t>
  </si>
  <si>
    <t>y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</si>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</sst>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8675-1942-4823-A50E-9170D3622557}">
  <dimension ref="A1:Q66"/>
  <sheetViews>
    <sheetView tabSelected="1" workbookViewId="0">
      <selection activeCell="D8" sqref="D8"/>
    </sheetView>
  </sheetViews>
  <sheetFormatPr defaultRowHeight="14.4" x14ac:dyDescent="0.3"/>
  <cols>
    <col min="1" max="1" width="10.33203125" style="1" bestFit="1" customWidth="1"/>
    <col min="2" max="2" width="10.21875" style="2" bestFit="1" customWidth="1"/>
    <col min="3" max="12" width="9.21875" style="2" bestFit="1" customWidth="1"/>
    <col min="13" max="13" width="9.21875" bestFit="1" customWidth="1"/>
    <col min="15" max="16" width="10.21875" style="2" bestFit="1" customWidth="1"/>
    <col min="17" max="17" width="9.21875" style="2" bestFit="1" customWidth="1"/>
  </cols>
  <sheetData>
    <row r="1" spans="1:15" x14ac:dyDescent="0.3">
      <c r="A1" s="1" t="s">
        <v>70</v>
      </c>
      <c r="B1" s="2" t="s">
        <v>78</v>
      </c>
      <c r="C1" s="2" t="s">
        <v>79</v>
      </c>
      <c r="D1" s="2" t="s">
        <v>71</v>
      </c>
      <c r="E1" s="2" t="s">
        <v>75</v>
      </c>
      <c r="F1" s="2" t="s">
        <v>65</v>
      </c>
      <c r="G1" s="2" t="s">
        <v>72</v>
      </c>
      <c r="H1" s="2" t="s">
        <v>66</v>
      </c>
      <c r="I1" s="2" t="s">
        <v>73</v>
      </c>
      <c r="J1" s="2" t="s">
        <v>67</v>
      </c>
      <c r="K1" s="2" t="s">
        <v>68</v>
      </c>
      <c r="L1" s="2" t="s">
        <v>69</v>
      </c>
      <c r="M1" s="2" t="s">
        <v>76</v>
      </c>
      <c r="N1" s="2" t="s">
        <v>74</v>
      </c>
      <c r="O1" s="2" t="s">
        <v>77</v>
      </c>
    </row>
    <row r="2" spans="1:15" x14ac:dyDescent="0.3">
      <c r="A2" s="1" t="s">
        <v>0</v>
      </c>
      <c r="B2" s="2">
        <v>1.1750272992597566E-2</v>
      </c>
      <c r="C2" s="2">
        <v>1.4</v>
      </c>
      <c r="D2" s="2">
        <v>-0.5</v>
      </c>
      <c r="E2" s="2">
        <v>-0.61636100000000005</v>
      </c>
      <c r="F2" s="2">
        <v>-0.65339999999999998</v>
      </c>
      <c r="G2" s="2">
        <v>-0.67985899999999999</v>
      </c>
      <c r="H2" s="2">
        <v>-0.63585599999999998</v>
      </c>
      <c r="I2" s="2">
        <v>-0.548929</v>
      </c>
      <c r="J2" s="2">
        <v>-0.39820800000000001</v>
      </c>
      <c r="K2" s="2">
        <v>-3.134E-2</v>
      </c>
      <c r="L2" s="2">
        <v>0.137131</v>
      </c>
      <c r="M2">
        <v>-0.53800000000000003</v>
      </c>
      <c r="N2">
        <v>5.2</v>
      </c>
      <c r="O2" s="2" t="e">
        <f>N2-#REF!</f>
        <v>#REF!</v>
      </c>
    </row>
    <row r="3" spans="1:15" x14ac:dyDescent="0.3">
      <c r="A3" s="1" t="s">
        <v>1</v>
      </c>
      <c r="B3" s="2">
        <v>4.6147517913510683E-3</v>
      </c>
      <c r="C3" s="2">
        <v>1.2</v>
      </c>
      <c r="D3" s="2">
        <v>-0.5</v>
      </c>
      <c r="E3" s="2">
        <v>-0.67579999999999996</v>
      </c>
      <c r="F3" s="2">
        <v>-0.73574300000000004</v>
      </c>
      <c r="G3" s="2">
        <v>-0.78614799999999996</v>
      </c>
      <c r="H3" s="2">
        <v>-0.78054500000000004</v>
      </c>
      <c r="I3" s="2">
        <v>-0.70641900000000002</v>
      </c>
      <c r="J3" s="2">
        <v>-0.57196199999999997</v>
      </c>
      <c r="K3" s="2">
        <v>-0.25797900000000001</v>
      </c>
      <c r="L3" s="2">
        <v>-0.121763</v>
      </c>
      <c r="M3">
        <v>-0.53800000000000003</v>
      </c>
      <c r="N3">
        <v>5.4</v>
      </c>
      <c r="O3" s="2">
        <f t="shared" ref="O3:O63" si="0">N3-N2</f>
        <v>0.20000000000000018</v>
      </c>
    </row>
    <row r="4" spans="1:15" x14ac:dyDescent="0.3">
      <c r="A4" s="1" t="s">
        <v>2</v>
      </c>
      <c r="B4" s="2">
        <v>-0.11706747785184746</v>
      </c>
      <c r="C4" s="2">
        <v>0.7</v>
      </c>
      <c r="D4" s="2">
        <v>-0.5</v>
      </c>
      <c r="E4" s="2">
        <v>-0.70086599999999999</v>
      </c>
      <c r="F4" s="2">
        <v>-0.69482100000000002</v>
      </c>
      <c r="G4" s="2">
        <v>-0.70592299999999997</v>
      </c>
      <c r="H4" s="2">
        <v>-0.66527599999999998</v>
      </c>
      <c r="I4" s="2">
        <v>-0.57279100000000005</v>
      </c>
      <c r="J4" s="2">
        <v>-0.41422199999999998</v>
      </c>
      <c r="K4" s="2">
        <v>-7.6498999999999998E-2</v>
      </c>
      <c r="L4" s="2">
        <v>5.9535999999999999E-2</v>
      </c>
      <c r="M4">
        <v>-0.53400000000000003</v>
      </c>
      <c r="N4">
        <v>7.6</v>
      </c>
      <c r="O4" s="2">
        <f t="shared" si="0"/>
        <v>2.1999999999999993</v>
      </c>
    </row>
    <row r="5" spans="1:15" x14ac:dyDescent="0.3">
      <c r="A5" s="1" t="s">
        <v>3</v>
      </c>
      <c r="B5" s="2">
        <v>-0.32219045722715478</v>
      </c>
      <c r="C5" s="2">
        <v>0.3</v>
      </c>
      <c r="D5" s="2">
        <v>-0.5</v>
      </c>
      <c r="E5" s="2">
        <v>-0.535385</v>
      </c>
      <c r="F5" s="2">
        <v>-0.61303600000000003</v>
      </c>
      <c r="G5" s="2">
        <v>-0.70584000000000002</v>
      </c>
      <c r="H5" s="2">
        <v>-0.72105200000000003</v>
      </c>
      <c r="I5" s="2">
        <v>-0.61742200000000003</v>
      </c>
      <c r="J5" s="2">
        <v>-0.45770899999999998</v>
      </c>
      <c r="K5" s="2">
        <v>-0.182228</v>
      </c>
      <c r="L5" s="2">
        <v>-8.2829E-2</v>
      </c>
      <c r="M5">
        <v>-0.53700000000000003</v>
      </c>
      <c r="N5">
        <v>8.1</v>
      </c>
      <c r="O5" s="2">
        <f t="shared" si="0"/>
        <v>0.5</v>
      </c>
    </row>
    <row r="6" spans="1:15" x14ac:dyDescent="0.3">
      <c r="A6" s="1" t="s">
        <v>4</v>
      </c>
      <c r="B6" s="2">
        <v>-0.19091932695665381</v>
      </c>
      <c r="C6" s="2">
        <v>0.1</v>
      </c>
      <c r="D6" s="2">
        <v>-0.5</v>
      </c>
      <c r="E6" s="2">
        <v>-0.57304100000000002</v>
      </c>
      <c r="F6" s="2">
        <v>-0.59756900000000002</v>
      </c>
      <c r="G6" s="2">
        <v>-0.63372300000000004</v>
      </c>
      <c r="H6" s="2">
        <v>-0.60812699999999997</v>
      </c>
      <c r="I6" s="2">
        <v>-0.51381200000000005</v>
      </c>
      <c r="J6" s="2">
        <v>-0.35922100000000001</v>
      </c>
      <c r="K6" s="2">
        <v>-5.5738000000000003E-2</v>
      </c>
      <c r="L6" s="2">
        <v>6.1005999999999998E-2</v>
      </c>
      <c r="M6">
        <v>-0.54200000000000004</v>
      </c>
      <c r="N6">
        <v>8.8000000000000007</v>
      </c>
      <c r="O6" s="2">
        <f t="shared" si="0"/>
        <v>0.70000000000000107</v>
      </c>
    </row>
    <row r="7" spans="1:15" x14ac:dyDescent="0.3">
      <c r="A7" s="1" t="s">
        <v>5</v>
      </c>
      <c r="B7" s="2">
        <v>-0.10275711467888549</v>
      </c>
      <c r="C7" s="2">
        <v>0.3</v>
      </c>
      <c r="D7" s="2">
        <v>-0.5</v>
      </c>
      <c r="E7" s="2">
        <v>-0.57170100000000001</v>
      </c>
      <c r="F7" s="2">
        <v>-0.63700199999999996</v>
      </c>
      <c r="G7" s="2">
        <v>-0.69423000000000001</v>
      </c>
      <c r="H7" s="2">
        <v>-0.68698899999999996</v>
      </c>
      <c r="I7" s="2">
        <v>-0.60141999999999995</v>
      </c>
      <c r="J7" s="2">
        <v>-0.45116000000000001</v>
      </c>
      <c r="K7" s="2">
        <v>-0.122197</v>
      </c>
      <c r="L7" s="2">
        <v>1.3636000000000001E-2</v>
      </c>
      <c r="M7">
        <v>-0.54600000000000004</v>
      </c>
      <c r="N7">
        <v>9.3000000000000007</v>
      </c>
      <c r="O7" s="2">
        <f t="shared" si="0"/>
        <v>0.5</v>
      </c>
    </row>
    <row r="8" spans="1:15" x14ac:dyDescent="0.3">
      <c r="A8" s="1" t="s">
        <v>6</v>
      </c>
      <c r="B8" s="2">
        <v>-5.6705794336217252E-2</v>
      </c>
      <c r="C8" s="2">
        <v>0.4</v>
      </c>
      <c r="D8" s="2">
        <v>-0.5</v>
      </c>
      <c r="E8" s="2">
        <v>-0.58291800000000005</v>
      </c>
      <c r="F8" s="2">
        <v>-0.64868400000000004</v>
      </c>
      <c r="G8" s="2">
        <v>-0.70974400000000004</v>
      </c>
      <c r="H8" s="2">
        <v>-0.71522799999999997</v>
      </c>
      <c r="I8" s="2">
        <v>-0.63589700000000005</v>
      </c>
      <c r="J8" s="2">
        <v>-0.49345499999999998</v>
      </c>
      <c r="K8" s="2">
        <v>-0.183314</v>
      </c>
      <c r="L8" s="2">
        <v>-5.6633000000000003E-2</v>
      </c>
      <c r="M8">
        <v>-0.55000000000000004</v>
      </c>
      <c r="N8">
        <v>10.1</v>
      </c>
      <c r="O8" s="2">
        <f t="shared" si="0"/>
        <v>0.79999999999999893</v>
      </c>
    </row>
    <row r="9" spans="1:15" x14ac:dyDescent="0.3">
      <c r="A9" s="1" t="s">
        <v>7</v>
      </c>
      <c r="B9" s="2">
        <v>-4.9439581147063372E-2</v>
      </c>
      <c r="C9" s="2">
        <v>-0.2</v>
      </c>
      <c r="D9" s="2">
        <v>-0.5</v>
      </c>
      <c r="E9" s="2">
        <v>-0.58160999999999996</v>
      </c>
      <c r="F9" s="2">
        <v>-0.62460499999999997</v>
      </c>
      <c r="G9" s="2">
        <v>-0.66321200000000002</v>
      </c>
      <c r="H9" s="2">
        <v>-0.62984099999999998</v>
      </c>
      <c r="I9" s="2">
        <v>-0.53387399999999996</v>
      </c>
      <c r="J9" s="2">
        <v>-0.37076700000000001</v>
      </c>
      <c r="K9" s="2">
        <v>-1.6219999999999998E-2</v>
      </c>
      <c r="L9" s="2">
        <v>0.13022700000000001</v>
      </c>
      <c r="M9">
        <v>-0.55300000000000005</v>
      </c>
      <c r="N9">
        <v>9.6</v>
      </c>
      <c r="O9" s="2">
        <f t="shared" si="0"/>
        <v>-0.5</v>
      </c>
    </row>
    <row r="10" spans="1:15" x14ac:dyDescent="0.3">
      <c r="A10" s="1" t="s">
        <v>8</v>
      </c>
      <c r="B10" s="2">
        <v>-4.4378175303726231E-2</v>
      </c>
      <c r="C10" s="2">
        <v>-0.3</v>
      </c>
      <c r="D10" s="2">
        <v>-0.5</v>
      </c>
      <c r="E10" s="2">
        <v>-0.62153899999999995</v>
      </c>
      <c r="F10" s="2">
        <v>-0.64405800000000002</v>
      </c>
      <c r="G10" s="2">
        <v>-0.69212499999999999</v>
      </c>
      <c r="H10" s="2">
        <v>-0.71395900000000001</v>
      </c>
      <c r="I10" s="2">
        <v>-0.63809800000000005</v>
      </c>
      <c r="J10" s="2">
        <v>-0.49536599999999997</v>
      </c>
      <c r="K10" s="2">
        <v>-0.19534599999999999</v>
      </c>
      <c r="L10" s="2">
        <v>-7.7682000000000001E-2</v>
      </c>
      <c r="M10">
        <v>-0.55400000000000005</v>
      </c>
      <c r="N10">
        <v>10.199999999999999</v>
      </c>
      <c r="O10" s="2">
        <f t="shared" si="0"/>
        <v>0.59999999999999964</v>
      </c>
    </row>
    <row r="11" spans="1:15" x14ac:dyDescent="0.3">
      <c r="A11" s="1" t="s">
        <v>9</v>
      </c>
      <c r="B11" s="2">
        <v>-1.6378480665422579E-2</v>
      </c>
      <c r="C11" s="2">
        <v>-0.3</v>
      </c>
      <c r="D11" s="2">
        <v>-0.5</v>
      </c>
      <c r="E11" s="2">
        <v>-0.70918899999999996</v>
      </c>
      <c r="F11" s="2">
        <v>-0.75224999999999997</v>
      </c>
      <c r="G11" s="2">
        <v>-0.80080300000000004</v>
      </c>
      <c r="H11" s="2">
        <v>-0.80849599999999999</v>
      </c>
      <c r="I11" s="2">
        <v>-0.73638400000000004</v>
      </c>
      <c r="J11" s="2">
        <v>-0.60348599999999997</v>
      </c>
      <c r="K11" s="2">
        <v>-0.31300299999999998</v>
      </c>
      <c r="L11" s="2">
        <v>-0.19508700000000001</v>
      </c>
      <c r="M11">
        <v>-0.55400000000000005</v>
      </c>
      <c r="N11">
        <v>10.4</v>
      </c>
      <c r="O11" s="2">
        <f t="shared" si="0"/>
        <v>0.20000000000000107</v>
      </c>
    </row>
    <row r="12" spans="1:15" x14ac:dyDescent="0.3">
      <c r="A12" s="1" t="s">
        <v>10</v>
      </c>
      <c r="B12" s="2">
        <v>1.0822999800856437E-2</v>
      </c>
      <c r="C12" s="2">
        <v>-0.3</v>
      </c>
      <c r="D12" s="2">
        <v>-0.5</v>
      </c>
      <c r="E12" s="2">
        <v>-0.71562300000000001</v>
      </c>
      <c r="F12" s="2">
        <v>-0.72374099999999997</v>
      </c>
      <c r="G12" s="2">
        <v>-0.75217999999999996</v>
      </c>
      <c r="H12" s="2">
        <v>-0.75200500000000003</v>
      </c>
      <c r="I12" s="2">
        <v>-0.68093899999999996</v>
      </c>
      <c r="J12" s="2">
        <v>-0.54968399999999995</v>
      </c>
      <c r="K12" s="2">
        <v>-0.26690700000000001</v>
      </c>
      <c r="L12" s="2">
        <v>-0.153832</v>
      </c>
      <c r="M12">
        <v>-0.55600000000000005</v>
      </c>
      <c r="N12">
        <v>11</v>
      </c>
      <c r="O12" s="2">
        <f t="shared" si="0"/>
        <v>0.59999999999999964</v>
      </c>
    </row>
    <row r="13" spans="1:15" x14ac:dyDescent="0.3">
      <c r="A13" s="1" t="s">
        <v>11</v>
      </c>
      <c r="B13" s="2">
        <v>2.42442209993321E-3</v>
      </c>
      <c r="C13" s="2">
        <v>-0.3</v>
      </c>
      <c r="D13" s="2">
        <v>-0.5</v>
      </c>
      <c r="E13" s="2">
        <v>-0.74560599999999999</v>
      </c>
      <c r="F13" s="2">
        <v>-0.76060000000000005</v>
      </c>
      <c r="G13" s="2">
        <v>-0.76685499999999995</v>
      </c>
      <c r="H13" s="2">
        <v>-0.72395100000000001</v>
      </c>
      <c r="I13" s="2">
        <v>-0.66765699999999994</v>
      </c>
      <c r="J13" s="2">
        <v>-0.57000799999999996</v>
      </c>
      <c r="K13" s="2">
        <v>-0.28923300000000002</v>
      </c>
      <c r="L13" s="2">
        <v>-0.12778800000000001</v>
      </c>
      <c r="M13">
        <v>-0.55700000000000005</v>
      </c>
      <c r="N13">
        <v>12.3</v>
      </c>
      <c r="O13" s="2">
        <f t="shared" si="0"/>
        <v>1.3000000000000007</v>
      </c>
    </row>
    <row r="14" spans="1:15" x14ac:dyDescent="0.3">
      <c r="A14" s="1" t="s">
        <v>12</v>
      </c>
      <c r="B14" s="2">
        <v>1.7168196067339991E-2</v>
      </c>
      <c r="C14" s="2">
        <v>0.9</v>
      </c>
      <c r="D14" s="2">
        <v>-0.5</v>
      </c>
      <c r="E14" s="2">
        <v>-0.62485100000000005</v>
      </c>
      <c r="F14" s="2">
        <v>-0.69863299999999995</v>
      </c>
      <c r="G14" s="2">
        <v>-0.75318399999999996</v>
      </c>
      <c r="H14" s="2">
        <v>-0.73679899999999998</v>
      </c>
      <c r="I14" s="2">
        <v>-0.65581999999999996</v>
      </c>
      <c r="J14" s="2">
        <v>-0.51225500000000002</v>
      </c>
      <c r="K14" s="2">
        <v>-0.17626900000000001</v>
      </c>
      <c r="L14" s="2">
        <v>-5.0507999999999997E-2</v>
      </c>
      <c r="M14">
        <v>-0.56299999999999994</v>
      </c>
      <c r="N14">
        <v>12.5</v>
      </c>
      <c r="O14" s="2">
        <f t="shared" si="0"/>
        <v>0.19999999999999929</v>
      </c>
    </row>
    <row r="15" spans="1:15" x14ac:dyDescent="0.3">
      <c r="A15" s="1" t="s">
        <v>13</v>
      </c>
      <c r="B15" s="2">
        <v>2.7476592433748337E-3</v>
      </c>
      <c r="C15" s="2">
        <v>0.9</v>
      </c>
      <c r="D15" s="2">
        <v>-0.5</v>
      </c>
      <c r="E15" s="2">
        <v>-0.61236599999999997</v>
      </c>
      <c r="F15" s="2">
        <v>-0.65300999999999998</v>
      </c>
      <c r="G15" s="2">
        <v>-0.66667299999999996</v>
      </c>
      <c r="H15" s="2">
        <v>-0.55348600000000003</v>
      </c>
      <c r="I15" s="2">
        <v>-0.42896899999999999</v>
      </c>
      <c r="J15" s="2">
        <v>-0.24573900000000001</v>
      </c>
      <c r="K15" s="2">
        <v>0.10298</v>
      </c>
      <c r="L15" s="2">
        <v>0.19242600000000001</v>
      </c>
      <c r="M15">
        <v>-0.56399999999999995</v>
      </c>
      <c r="N15">
        <v>12.4</v>
      </c>
      <c r="O15" s="2">
        <f t="shared" si="0"/>
        <v>-9.9999999999999645E-2</v>
      </c>
    </row>
    <row r="16" spans="1:15" x14ac:dyDescent="0.3">
      <c r="A16" s="1" t="s">
        <v>14</v>
      </c>
      <c r="B16" s="2">
        <v>1.4462773981875898E-2</v>
      </c>
      <c r="C16" s="2">
        <v>1.3</v>
      </c>
      <c r="D16" s="2">
        <v>-0.5</v>
      </c>
      <c r="E16" s="2">
        <v>-0.63610299999999997</v>
      </c>
      <c r="F16" s="2">
        <v>-0.69333</v>
      </c>
      <c r="G16" s="2">
        <v>-0.72183799999999998</v>
      </c>
      <c r="H16" s="2">
        <v>-0.61915200000000004</v>
      </c>
      <c r="I16" s="2">
        <v>-0.48530899999999999</v>
      </c>
      <c r="J16" s="2">
        <v>-0.27865000000000001</v>
      </c>
      <c r="K16" s="2">
        <v>0.141536</v>
      </c>
      <c r="L16" s="2">
        <v>0.26179200000000002</v>
      </c>
      <c r="M16">
        <v>-0.56399999999999995</v>
      </c>
      <c r="N16">
        <v>10.1</v>
      </c>
      <c r="O16" s="2">
        <f t="shared" si="0"/>
        <v>-2.3000000000000007</v>
      </c>
    </row>
    <row r="17" spans="1:15" x14ac:dyDescent="0.3">
      <c r="A17" s="1" t="s">
        <v>15</v>
      </c>
      <c r="B17" s="2">
        <v>2.2068913479821539E-2</v>
      </c>
      <c r="C17" s="2">
        <v>1.6</v>
      </c>
      <c r="D17" s="2">
        <v>-0.5</v>
      </c>
      <c r="E17" s="2">
        <v>-0.62781799999999999</v>
      </c>
      <c r="F17" s="2">
        <v>-0.683253</v>
      </c>
      <c r="G17" s="2">
        <v>-0.70469199999999999</v>
      </c>
      <c r="H17" s="2">
        <v>-0.56779000000000002</v>
      </c>
      <c r="I17" s="2">
        <v>-0.411416</v>
      </c>
      <c r="J17" s="2">
        <v>-0.17999399999999999</v>
      </c>
      <c r="K17" s="2">
        <v>0.25198399999999999</v>
      </c>
      <c r="L17" s="2">
        <v>0.344586</v>
      </c>
      <c r="M17">
        <v>-0.56599999999999995</v>
      </c>
      <c r="N17">
        <v>9.4</v>
      </c>
      <c r="O17" s="2">
        <f t="shared" si="0"/>
        <v>-0.69999999999999929</v>
      </c>
    </row>
    <row r="18" spans="1:15" x14ac:dyDescent="0.3">
      <c r="A18" s="1" t="s">
        <v>16</v>
      </c>
      <c r="B18" s="2">
        <v>1.0732479321456267E-2</v>
      </c>
      <c r="C18" s="2">
        <v>2</v>
      </c>
      <c r="D18" s="2">
        <v>-0.5</v>
      </c>
      <c r="E18" s="2">
        <v>-0.63164699999999996</v>
      </c>
      <c r="F18" s="2">
        <v>-0.67986899999999995</v>
      </c>
      <c r="G18" s="2">
        <v>-0.693581</v>
      </c>
      <c r="H18" s="2">
        <v>-0.54252400000000001</v>
      </c>
      <c r="I18" s="2">
        <v>-0.38138899999999998</v>
      </c>
      <c r="J18" s="2">
        <v>-0.14641499999999999</v>
      </c>
      <c r="K18" s="2">
        <v>0.28747899999999998</v>
      </c>
      <c r="L18" s="2">
        <v>0.38001200000000002</v>
      </c>
      <c r="M18">
        <v>-0.56499999999999995</v>
      </c>
      <c r="N18">
        <v>8.9</v>
      </c>
      <c r="O18" s="2">
        <f t="shared" si="0"/>
        <v>-0.5</v>
      </c>
    </row>
    <row r="19" spans="1:15" x14ac:dyDescent="0.3">
      <c r="A19" s="1" t="s">
        <v>17</v>
      </c>
      <c r="B19" s="2">
        <v>1.2373675214604418E-2</v>
      </c>
      <c r="C19" s="2">
        <v>1.9</v>
      </c>
      <c r="D19" s="2">
        <v>-0.5</v>
      </c>
      <c r="E19" s="2">
        <v>-0.65040399999999998</v>
      </c>
      <c r="F19" s="2">
        <v>-0.68885799999999997</v>
      </c>
      <c r="G19" s="2">
        <v>-0.69751399999999997</v>
      </c>
      <c r="H19" s="2">
        <v>-0.55975900000000001</v>
      </c>
      <c r="I19" s="2">
        <v>-0.415321</v>
      </c>
      <c r="J19" s="2">
        <v>-0.20316799999999999</v>
      </c>
      <c r="K19" s="2">
        <v>0.20058400000000001</v>
      </c>
      <c r="L19" s="2">
        <v>0.29473899999999997</v>
      </c>
      <c r="M19">
        <v>-0.56499999999999995</v>
      </c>
      <c r="N19">
        <v>8.5</v>
      </c>
      <c r="O19" s="2">
        <f t="shared" si="0"/>
        <v>-0.40000000000000036</v>
      </c>
    </row>
    <row r="20" spans="1:15" x14ac:dyDescent="0.3">
      <c r="A20" s="1" t="s">
        <v>18</v>
      </c>
      <c r="B20" s="2">
        <v>2.593111593712738E-2</v>
      </c>
      <c r="C20" s="2">
        <v>2.2000000000000002</v>
      </c>
      <c r="D20" s="2">
        <v>-0.5</v>
      </c>
      <c r="E20" s="2">
        <v>-0.66266599999999998</v>
      </c>
      <c r="F20" s="2">
        <v>-0.74726099999999995</v>
      </c>
      <c r="G20" s="2">
        <v>-0.80346200000000001</v>
      </c>
      <c r="H20" s="2">
        <v>-0.747668</v>
      </c>
      <c r="I20" s="2">
        <v>-0.63008500000000001</v>
      </c>
      <c r="J20" s="2">
        <v>-0.43987999999999999</v>
      </c>
      <c r="K20" s="2">
        <v>-5.9408000000000002E-2</v>
      </c>
      <c r="L20" s="2">
        <v>3.3667999999999997E-2</v>
      </c>
      <c r="M20">
        <v>-0.56599999999999995</v>
      </c>
      <c r="N20">
        <v>8</v>
      </c>
      <c r="O20" s="2">
        <f t="shared" si="0"/>
        <v>-0.5</v>
      </c>
    </row>
    <row r="21" spans="1:15" x14ac:dyDescent="0.3">
      <c r="A21" s="1" t="s">
        <v>19</v>
      </c>
      <c r="B21" s="2">
        <v>2.6112876001844754E-3</v>
      </c>
      <c r="C21" s="2">
        <v>3</v>
      </c>
      <c r="D21" s="2">
        <v>-0.5</v>
      </c>
      <c r="E21" s="2">
        <v>-0.67605499999999996</v>
      </c>
      <c r="F21" s="2">
        <v>-0.73360099999999995</v>
      </c>
      <c r="G21" s="2">
        <v>-0.76529899999999995</v>
      </c>
      <c r="H21" s="2">
        <v>-0.68462000000000001</v>
      </c>
      <c r="I21" s="2">
        <v>-0.57030599999999998</v>
      </c>
      <c r="J21" s="2">
        <v>-0.39293400000000001</v>
      </c>
      <c r="K21" s="2">
        <v>-3.2863000000000003E-2</v>
      </c>
      <c r="L21" s="2">
        <v>7.5316999999999995E-2</v>
      </c>
      <c r="M21">
        <v>-0.56799999999999995</v>
      </c>
      <c r="N21">
        <v>8.3000000000000007</v>
      </c>
      <c r="O21" s="2">
        <f t="shared" si="0"/>
        <v>0.30000000000000071</v>
      </c>
    </row>
    <row r="22" spans="1:15" x14ac:dyDescent="0.3">
      <c r="A22" s="1" t="s">
        <v>20</v>
      </c>
      <c r="B22" s="2">
        <v>2.2663277029799644E-3</v>
      </c>
      <c r="C22" s="2">
        <v>3.4</v>
      </c>
      <c r="D22" s="2">
        <v>-0.5</v>
      </c>
      <c r="E22" s="2">
        <v>-0.71223700000000001</v>
      </c>
      <c r="F22" s="2">
        <v>-0.73288900000000001</v>
      </c>
      <c r="G22" s="2">
        <v>-0.72055899999999995</v>
      </c>
      <c r="H22" s="2">
        <v>-0.54094600000000004</v>
      </c>
      <c r="I22" s="2">
        <v>-0.38436599999999999</v>
      </c>
      <c r="J22" s="2">
        <v>-0.170187</v>
      </c>
      <c r="K22" s="2">
        <v>0.194687</v>
      </c>
      <c r="L22" s="2">
        <v>0.26127099999999998</v>
      </c>
      <c r="M22">
        <v>-0.56999999999999995</v>
      </c>
      <c r="N22">
        <v>7.8</v>
      </c>
      <c r="O22" s="2">
        <f t="shared" si="0"/>
        <v>-0.50000000000000089</v>
      </c>
    </row>
    <row r="23" spans="1:15" x14ac:dyDescent="0.3">
      <c r="A23" s="1" t="s">
        <v>21</v>
      </c>
      <c r="B23" s="2">
        <v>4.9576655521583746E-3</v>
      </c>
      <c r="C23" s="2">
        <v>4.0999999999999996</v>
      </c>
      <c r="D23" s="2">
        <v>-0.5</v>
      </c>
      <c r="E23" s="2">
        <v>-0.73596899999999998</v>
      </c>
      <c r="F23" s="2">
        <v>-0.69417700000000004</v>
      </c>
      <c r="G23" s="2">
        <v>-0.62045300000000003</v>
      </c>
      <c r="H23" s="2">
        <v>-0.36989499999999997</v>
      </c>
      <c r="I23" s="2">
        <v>-0.22578500000000001</v>
      </c>
      <c r="J23" s="2">
        <v>-6.9241999999999998E-2</v>
      </c>
      <c r="K23" s="2">
        <v>0.102682</v>
      </c>
      <c r="L23" s="2">
        <v>0.100134</v>
      </c>
      <c r="M23">
        <v>-0.57099999999999995</v>
      </c>
      <c r="N23">
        <v>7.8</v>
      </c>
      <c r="O23" s="2">
        <f t="shared" si="0"/>
        <v>0</v>
      </c>
    </row>
    <row r="24" spans="1:15" x14ac:dyDescent="0.3">
      <c r="A24" s="1" t="s">
        <v>22</v>
      </c>
      <c r="B24" s="2">
        <v>1.1660726274667965E-2</v>
      </c>
      <c r="C24" s="2">
        <v>4.9000000000000004</v>
      </c>
      <c r="D24" s="2">
        <v>-0.5</v>
      </c>
      <c r="E24" s="2">
        <v>-0.89501699999999995</v>
      </c>
      <c r="F24" s="2">
        <v>-0.85472000000000004</v>
      </c>
      <c r="G24" s="2">
        <v>-0.81530199999999997</v>
      </c>
      <c r="H24" s="2">
        <v>-0.63710500000000003</v>
      </c>
      <c r="I24" s="2">
        <v>-0.50543899999999997</v>
      </c>
      <c r="J24" s="2">
        <v>-0.35004999999999997</v>
      </c>
      <c r="K24" s="2">
        <v>-0.11518299999999999</v>
      </c>
      <c r="L24" s="2">
        <v>-3.2910000000000002E-2</v>
      </c>
      <c r="M24">
        <v>-0.57299999999999995</v>
      </c>
      <c r="N24">
        <v>7.4</v>
      </c>
      <c r="O24" s="2">
        <f t="shared" si="0"/>
        <v>-0.39999999999999947</v>
      </c>
    </row>
    <row r="25" spans="1:15" x14ac:dyDescent="0.3">
      <c r="A25" s="1" t="s">
        <v>23</v>
      </c>
      <c r="B25" s="2">
        <v>3.1156841978760674E-2</v>
      </c>
      <c r="C25" s="2">
        <v>5</v>
      </c>
      <c r="D25" s="2">
        <v>-0.5</v>
      </c>
      <c r="E25" s="2">
        <v>-0.730545</v>
      </c>
      <c r="F25" s="2">
        <v>-0.71936900000000004</v>
      </c>
      <c r="G25" s="2">
        <v>-0.67914099999999999</v>
      </c>
      <c r="H25" s="2">
        <v>-0.47865200000000002</v>
      </c>
      <c r="I25" s="2">
        <v>-0.344864</v>
      </c>
      <c r="J25" s="2">
        <v>-0.1885</v>
      </c>
      <c r="K25" s="2">
        <v>5.6397999999999997E-2</v>
      </c>
      <c r="L25" s="2">
        <v>0.14424100000000001</v>
      </c>
      <c r="M25">
        <v>-0.57699999999999996</v>
      </c>
      <c r="N25">
        <v>7</v>
      </c>
      <c r="O25" s="2">
        <f t="shared" si="0"/>
        <v>-0.40000000000000036</v>
      </c>
    </row>
    <row r="26" spans="1:15" x14ac:dyDescent="0.3">
      <c r="A26" s="1" t="s">
        <v>24</v>
      </c>
      <c r="B26" s="2">
        <v>2.2993440372863994E-2</v>
      </c>
      <c r="C26" s="2">
        <v>5.0999999999999996</v>
      </c>
      <c r="D26" s="2">
        <v>-0.5</v>
      </c>
      <c r="E26" s="2">
        <v>-0.69696899999999995</v>
      </c>
      <c r="F26" s="2">
        <v>-0.66337500000000005</v>
      </c>
      <c r="G26" s="2">
        <v>-0.572357</v>
      </c>
      <c r="H26" s="2">
        <v>-0.26700299999999999</v>
      </c>
      <c r="I26" s="2">
        <v>-0.118029</v>
      </c>
      <c r="J26" s="2">
        <v>2.7559E-2</v>
      </c>
      <c r="K26" s="2">
        <v>0.22153200000000001</v>
      </c>
      <c r="L26" s="2">
        <v>0.28750500000000001</v>
      </c>
      <c r="M26">
        <v>-0.57799999999999996</v>
      </c>
      <c r="N26">
        <v>6.8</v>
      </c>
      <c r="O26" s="2">
        <f t="shared" si="0"/>
        <v>-0.20000000000000018</v>
      </c>
    </row>
    <row r="27" spans="1:15" x14ac:dyDescent="0.3">
      <c r="A27" s="1" t="s">
        <v>25</v>
      </c>
      <c r="B27" s="2">
        <v>2.863449226501924E-2</v>
      </c>
      <c r="C27" s="2">
        <v>5.9</v>
      </c>
      <c r="D27" s="2">
        <v>-0.5</v>
      </c>
      <c r="E27" s="2">
        <v>-0.73424999999999996</v>
      </c>
      <c r="F27" s="2">
        <v>-0.681589</v>
      </c>
      <c r="G27" s="2">
        <v>-0.53541700000000003</v>
      </c>
      <c r="H27" s="2">
        <v>-0.11299099999999999</v>
      </c>
      <c r="I27" s="2">
        <v>6.0969000000000002E-2</v>
      </c>
      <c r="J27" s="2">
        <v>0.21518899999999999</v>
      </c>
      <c r="K27" s="2">
        <v>0.40671200000000002</v>
      </c>
      <c r="L27" s="2">
        <v>0.47097299999999997</v>
      </c>
      <c r="M27">
        <v>-0.57699999999999996</v>
      </c>
      <c r="N27">
        <v>6.7</v>
      </c>
      <c r="O27" s="2">
        <f t="shared" si="0"/>
        <v>-9.9999999999999645E-2</v>
      </c>
    </row>
    <row r="28" spans="1:15" x14ac:dyDescent="0.3">
      <c r="A28" s="1" t="s">
        <v>26</v>
      </c>
      <c r="B28" s="2">
        <v>9.544534204769306E-3</v>
      </c>
      <c r="C28" s="2">
        <v>7.4</v>
      </c>
      <c r="D28" s="2">
        <v>-0.5</v>
      </c>
      <c r="E28" s="2">
        <v>-0.69927499999999998</v>
      </c>
      <c r="F28" s="2">
        <v>-0.494114</v>
      </c>
      <c r="G28" s="2">
        <v>-8.6021E-2</v>
      </c>
      <c r="H28" s="2">
        <v>0.42341600000000001</v>
      </c>
      <c r="I28" s="2">
        <v>0.53444100000000005</v>
      </c>
      <c r="J28" s="2">
        <v>0.61786099999999999</v>
      </c>
      <c r="K28" s="2">
        <v>0.71518899999999996</v>
      </c>
      <c r="L28" s="2">
        <v>0.74763199999999996</v>
      </c>
      <c r="M28">
        <v>-0.57899999999999996</v>
      </c>
      <c r="N28">
        <v>6.5</v>
      </c>
      <c r="O28" s="2">
        <f t="shared" si="0"/>
        <v>-0.20000000000000018</v>
      </c>
    </row>
    <row r="29" spans="1:15" x14ac:dyDescent="0.3">
      <c r="A29" s="1" t="s">
        <v>27</v>
      </c>
      <c r="B29" s="2">
        <v>1.2315738398572584E-2</v>
      </c>
      <c r="C29" s="2">
        <v>7.4</v>
      </c>
      <c r="D29" s="2">
        <v>-0.5</v>
      </c>
      <c r="E29" s="2">
        <v>-0.59373799999999999</v>
      </c>
      <c r="F29" s="2">
        <v>-0.26182299999999997</v>
      </c>
      <c r="G29" s="2">
        <v>0.213532</v>
      </c>
      <c r="H29" s="2">
        <v>0.74391099999999999</v>
      </c>
      <c r="I29" s="2">
        <v>0.85560099999999994</v>
      </c>
      <c r="J29" s="2">
        <v>0.93944499999999997</v>
      </c>
      <c r="K29" s="2">
        <v>1.0372650000000001</v>
      </c>
      <c r="L29" s="2">
        <v>1.069871</v>
      </c>
      <c r="M29">
        <v>-0.58399999999999996</v>
      </c>
      <c r="N29">
        <v>6.3</v>
      </c>
      <c r="O29" s="2">
        <f t="shared" si="0"/>
        <v>-0.20000000000000018</v>
      </c>
    </row>
    <row r="30" spans="1:15" x14ac:dyDescent="0.3">
      <c r="A30" s="1" t="s">
        <v>28</v>
      </c>
      <c r="B30" s="2">
        <v>3.4806701696921571E-2</v>
      </c>
      <c r="C30" s="2">
        <v>8.1</v>
      </c>
      <c r="D30" s="2">
        <v>-0.5</v>
      </c>
      <c r="E30" s="2">
        <v>-0.378992</v>
      </c>
      <c r="F30" s="2">
        <v>-8.133E-2</v>
      </c>
      <c r="G30" s="2">
        <v>0.357796</v>
      </c>
      <c r="H30" s="2">
        <v>0.96747499999999997</v>
      </c>
      <c r="I30" s="2">
        <v>1.1111279999999999</v>
      </c>
      <c r="J30" s="2">
        <v>1.2196370000000001</v>
      </c>
      <c r="K30" s="2">
        <v>1.3462879999999999</v>
      </c>
      <c r="L30" s="2">
        <v>1.3885050000000001</v>
      </c>
      <c r="M30">
        <v>-0.58499999999999996</v>
      </c>
      <c r="N30">
        <v>6</v>
      </c>
      <c r="O30" s="2">
        <f t="shared" si="0"/>
        <v>-0.29999999999999982</v>
      </c>
    </row>
    <row r="31" spans="1:15" x14ac:dyDescent="0.3">
      <c r="A31" s="1" t="s">
        <v>29</v>
      </c>
      <c r="B31" s="2">
        <v>3.0717950181204934E-2</v>
      </c>
      <c r="C31" s="2">
        <v>8.6</v>
      </c>
      <c r="D31" s="2">
        <v>-0.5</v>
      </c>
      <c r="E31" s="2">
        <v>-0.41747899999999999</v>
      </c>
      <c r="F31" s="2">
        <v>0.30747099999999999</v>
      </c>
      <c r="G31" s="2">
        <v>0.64296900000000001</v>
      </c>
      <c r="H31" s="2">
        <v>1.10555</v>
      </c>
      <c r="I31" s="2">
        <v>1.3117970000000001</v>
      </c>
      <c r="J31" s="2">
        <v>1.49844</v>
      </c>
      <c r="K31" s="2">
        <v>1.7276480000000001</v>
      </c>
      <c r="L31" s="2">
        <v>1.8042819999999999</v>
      </c>
      <c r="M31">
        <v>-0.58199999999999996</v>
      </c>
      <c r="N31">
        <v>6</v>
      </c>
      <c r="O31" s="2">
        <f t="shared" si="0"/>
        <v>0</v>
      </c>
    </row>
    <row r="32" spans="1:15" x14ac:dyDescent="0.3">
      <c r="A32" s="1" t="s">
        <v>30</v>
      </c>
      <c r="B32" s="2">
        <v>1.3774770459964891E-2</v>
      </c>
      <c r="C32" s="2">
        <v>8.9</v>
      </c>
      <c r="D32" s="2">
        <v>0</v>
      </c>
      <c r="E32" s="2">
        <v>4.4356E-2</v>
      </c>
      <c r="F32" s="2">
        <v>0.156665</v>
      </c>
      <c r="G32" s="2">
        <v>0.25439099999999998</v>
      </c>
      <c r="H32" s="2">
        <v>0.55133399999999999</v>
      </c>
      <c r="I32" s="2">
        <v>0.73267899999999997</v>
      </c>
      <c r="J32" s="2">
        <v>0.928512</v>
      </c>
      <c r="K32" s="2">
        <v>1.2026190000000001</v>
      </c>
      <c r="L32" s="2">
        <v>1.296548</v>
      </c>
      <c r="M32">
        <v>-0.51100000000000001</v>
      </c>
      <c r="N32">
        <v>5.8</v>
      </c>
      <c r="O32" s="2">
        <f t="shared" si="0"/>
        <v>-0.20000000000000018</v>
      </c>
    </row>
    <row r="33" spans="1:15" x14ac:dyDescent="0.3">
      <c r="A33" s="1" t="s">
        <v>31</v>
      </c>
      <c r="B33" s="2">
        <v>3.3373441056040676E-2</v>
      </c>
      <c r="C33" s="2">
        <v>9.1</v>
      </c>
      <c r="D33" s="2">
        <v>0</v>
      </c>
      <c r="E33" s="2">
        <v>-0.19095599999999999</v>
      </c>
      <c r="F33" s="2">
        <v>0.66117199999999998</v>
      </c>
      <c r="G33" s="2">
        <v>1.07559</v>
      </c>
      <c r="H33" s="2">
        <v>1.364827</v>
      </c>
      <c r="I33" s="2">
        <v>1.466385</v>
      </c>
      <c r="J33" s="2">
        <v>1.5713820000000001</v>
      </c>
      <c r="K33" s="2">
        <v>1.7110129999999999</v>
      </c>
      <c r="L33" s="2">
        <v>1.7581549999999999</v>
      </c>
      <c r="M33">
        <v>-8.5000000000000006E-2</v>
      </c>
      <c r="N33">
        <v>6.2</v>
      </c>
      <c r="O33" s="2">
        <f t="shared" si="0"/>
        <v>0.40000000000000036</v>
      </c>
    </row>
    <row r="34" spans="1:15" x14ac:dyDescent="0.3">
      <c r="A34" s="1" t="s">
        <v>32</v>
      </c>
      <c r="B34" s="2">
        <v>4.4925755050976512E-2</v>
      </c>
      <c r="C34" s="2">
        <v>9.9</v>
      </c>
      <c r="D34" s="2">
        <v>0.75</v>
      </c>
      <c r="E34" s="2">
        <v>0.67385700000000004</v>
      </c>
      <c r="F34" s="2">
        <v>1.5433680000000001</v>
      </c>
      <c r="G34" s="2">
        <v>1.6662189999999999</v>
      </c>
      <c r="H34" s="2">
        <v>1.953103</v>
      </c>
      <c r="I34" s="2">
        <v>2.055717</v>
      </c>
      <c r="J34" s="2">
        <v>2.134773</v>
      </c>
      <c r="K34" s="2">
        <v>2.2271550000000002</v>
      </c>
      <c r="L34" s="2">
        <v>2.257949</v>
      </c>
      <c r="M34">
        <v>0.35499999999999998</v>
      </c>
      <c r="N34">
        <v>5.9</v>
      </c>
      <c r="O34" s="2">
        <f t="shared" si="0"/>
        <v>-0.29999999999999982</v>
      </c>
    </row>
    <row r="35" spans="1:15" x14ac:dyDescent="0.3">
      <c r="A35" s="1" t="s">
        <v>33</v>
      </c>
      <c r="B35" s="2">
        <v>3.5156033222882854E-2</v>
      </c>
      <c r="C35" s="2">
        <v>10.6</v>
      </c>
      <c r="D35" s="2">
        <v>0.75</v>
      </c>
      <c r="E35" s="2">
        <v>1.079828</v>
      </c>
      <c r="F35" s="2">
        <v>1.9307829999999999</v>
      </c>
      <c r="G35" s="2">
        <v>1.9202920000000001</v>
      </c>
      <c r="H35" s="2">
        <v>1.9804710000000001</v>
      </c>
      <c r="I35" s="2">
        <v>2.1089609999999999</v>
      </c>
      <c r="J35" s="2">
        <v>2.2391390000000002</v>
      </c>
      <c r="K35" s="2">
        <v>2.2935310000000002</v>
      </c>
      <c r="L35" s="2">
        <v>2.2057159999999998</v>
      </c>
      <c r="M35">
        <v>0.65600000000000003</v>
      </c>
      <c r="N35">
        <v>5</v>
      </c>
      <c r="O35" s="2">
        <f t="shared" si="0"/>
        <v>-0.90000000000000036</v>
      </c>
    </row>
    <row r="36" spans="1:15" x14ac:dyDescent="0.3">
      <c r="A36" s="1" t="s">
        <v>34</v>
      </c>
      <c r="B36" s="2">
        <v>3.803349738214834E-2</v>
      </c>
      <c r="C36" s="2">
        <v>10.1</v>
      </c>
      <c r="D36" s="2">
        <v>1.5</v>
      </c>
      <c r="E36" s="2">
        <v>1.4616199999999999</v>
      </c>
      <c r="F36" s="2">
        <v>2.022338</v>
      </c>
      <c r="G36" s="2">
        <v>2.0378229999999999</v>
      </c>
      <c r="H36" s="2">
        <v>1.959184</v>
      </c>
      <c r="I36" s="2">
        <v>1.977117</v>
      </c>
      <c r="J36" s="2">
        <v>1.9939420000000001</v>
      </c>
      <c r="K36" s="2">
        <v>1.9374169999999999</v>
      </c>
      <c r="L36" s="2">
        <v>1.8628670000000001</v>
      </c>
      <c r="M36">
        <v>1.3680000000000001</v>
      </c>
      <c r="N36">
        <v>4.5999999999999996</v>
      </c>
      <c r="O36" s="2">
        <f t="shared" si="0"/>
        <v>-0.40000000000000036</v>
      </c>
    </row>
    <row r="37" spans="1:15" x14ac:dyDescent="0.3">
      <c r="A37" s="1" t="s">
        <v>35</v>
      </c>
      <c r="B37" s="2">
        <v>1.7399872074618017E-2</v>
      </c>
      <c r="C37" s="2">
        <v>9.1999999999999993</v>
      </c>
      <c r="D37" s="2">
        <v>2</v>
      </c>
      <c r="E37" s="2">
        <v>1.7100960000000001</v>
      </c>
      <c r="F37" s="2">
        <v>2.4605079999999999</v>
      </c>
      <c r="G37" s="2">
        <v>2.5653359999999998</v>
      </c>
      <c r="H37" s="2">
        <v>2.4509069999999999</v>
      </c>
      <c r="I37" s="2">
        <v>2.4844819999999999</v>
      </c>
      <c r="J37" s="2">
        <v>2.5553140000000001</v>
      </c>
      <c r="K37" s="2">
        <v>2.5841889999999998</v>
      </c>
      <c r="L37" s="2">
        <v>2.424461</v>
      </c>
      <c r="M37">
        <v>1.5680000000000001</v>
      </c>
      <c r="N37">
        <v>3.8</v>
      </c>
      <c r="O37" s="2">
        <f t="shared" si="0"/>
        <v>-0.79999999999999982</v>
      </c>
    </row>
    <row r="38" spans="1:15" x14ac:dyDescent="0.3">
      <c r="A38" s="1" t="s">
        <v>36</v>
      </c>
      <c r="B38" s="2">
        <v>3.2184294705029259E-2</v>
      </c>
      <c r="C38" s="2">
        <v>8.6</v>
      </c>
      <c r="D38" s="2">
        <v>2</v>
      </c>
      <c r="E38" s="2">
        <v>2.2212499999999999</v>
      </c>
      <c r="F38" s="2">
        <v>2.6699120000000001</v>
      </c>
      <c r="G38" s="2">
        <v>2.507177</v>
      </c>
      <c r="H38" s="2">
        <v>2.2894580000000002</v>
      </c>
      <c r="I38" s="2">
        <v>2.2929759999999999</v>
      </c>
      <c r="J38" s="2">
        <v>2.3217469999999998</v>
      </c>
      <c r="K38" s="2">
        <v>2.320668</v>
      </c>
      <c r="L38" s="2">
        <v>2.2022189999999999</v>
      </c>
      <c r="M38">
        <v>1.9019999999999999</v>
      </c>
      <c r="N38">
        <v>3</v>
      </c>
      <c r="O38" s="2">
        <f t="shared" si="0"/>
        <v>-0.79999999999999982</v>
      </c>
    </row>
    <row r="39" spans="1:15" x14ac:dyDescent="0.3">
      <c r="A39" s="1" t="s">
        <v>37</v>
      </c>
      <c r="B39" s="2">
        <v>4.2919533864116843E-2</v>
      </c>
      <c r="C39" s="2">
        <v>8.5</v>
      </c>
      <c r="D39" s="2">
        <v>2.5</v>
      </c>
      <c r="E39" s="2">
        <v>2.6602190000000001</v>
      </c>
      <c r="F39" s="2">
        <v>3.1611319999999998</v>
      </c>
      <c r="G39" s="2">
        <v>3.0819030000000001</v>
      </c>
      <c r="H39" s="2">
        <v>2.801031</v>
      </c>
      <c r="I39" s="2">
        <v>2.7648039999999998</v>
      </c>
      <c r="J39" s="2">
        <v>2.7593969999999999</v>
      </c>
      <c r="K39" s="2">
        <v>2.7292329999999998</v>
      </c>
      <c r="L39" s="2">
        <v>2.609931</v>
      </c>
      <c r="M39">
        <v>2.2749999999999999</v>
      </c>
      <c r="N39">
        <v>2.4</v>
      </c>
      <c r="O39" s="2">
        <f t="shared" si="0"/>
        <v>-0.60000000000000009</v>
      </c>
    </row>
    <row r="40" spans="1:15" x14ac:dyDescent="0.3">
      <c r="A40" s="1" t="s">
        <v>38</v>
      </c>
      <c r="B40" s="2">
        <v>1.3542726803738248E-2</v>
      </c>
      <c r="C40" s="2">
        <v>6.9</v>
      </c>
      <c r="D40" s="2">
        <v>3</v>
      </c>
      <c r="E40" s="2">
        <v>2.7535280000000002</v>
      </c>
      <c r="F40" s="2">
        <v>2.7977630000000002</v>
      </c>
      <c r="G40" s="2">
        <v>2.6178699999999999</v>
      </c>
      <c r="H40" s="2">
        <v>2.3535879999999998</v>
      </c>
      <c r="I40" s="2">
        <v>2.3555280000000001</v>
      </c>
      <c r="J40" s="2">
        <v>2.405373</v>
      </c>
      <c r="K40" s="2">
        <v>2.463212</v>
      </c>
      <c r="L40" s="2">
        <v>2.35812</v>
      </c>
      <c r="M40">
        <v>2.5720000000000001</v>
      </c>
      <c r="N40">
        <v>2</v>
      </c>
      <c r="O40" s="2">
        <f t="shared" si="0"/>
        <v>-0.39999999999999991</v>
      </c>
    </row>
    <row r="41" spans="1:15" x14ac:dyDescent="0.3">
      <c r="A41" s="1" t="s">
        <v>39</v>
      </c>
      <c r="B41" s="2">
        <v>1.562354449454606E-2</v>
      </c>
      <c r="C41" s="2">
        <v>7</v>
      </c>
      <c r="D41" s="2">
        <v>3</v>
      </c>
      <c r="E41" s="2">
        <v>2.8810359999999999</v>
      </c>
      <c r="F41" s="2">
        <v>2.942529</v>
      </c>
      <c r="G41" s="2">
        <v>2.6848040000000002</v>
      </c>
      <c r="H41" s="2">
        <v>2.3704339999999999</v>
      </c>
      <c r="I41" s="2">
        <v>2.3814570000000002</v>
      </c>
      <c r="J41" s="2">
        <v>2.444445</v>
      </c>
      <c r="K41" s="2">
        <v>2.5171540000000001</v>
      </c>
      <c r="L41" s="2">
        <v>2.403772</v>
      </c>
      <c r="M41">
        <v>2.9</v>
      </c>
      <c r="N41">
        <v>1.3</v>
      </c>
      <c r="O41" s="2">
        <f t="shared" si="0"/>
        <v>-0.7</v>
      </c>
    </row>
    <row r="42" spans="1:15" x14ac:dyDescent="0.3">
      <c r="A42" s="1" t="s">
        <v>40</v>
      </c>
      <c r="B42" s="2">
        <v>2.1684347807695126E-2</v>
      </c>
      <c r="C42" s="2">
        <v>6.1</v>
      </c>
      <c r="D42" s="2">
        <v>3.25</v>
      </c>
      <c r="E42" s="2">
        <v>3.074462</v>
      </c>
      <c r="F42" s="2">
        <v>3.0153949999999998</v>
      </c>
      <c r="G42" s="2">
        <v>2.6441029999999999</v>
      </c>
      <c r="H42" s="2">
        <v>2.2850259999999998</v>
      </c>
      <c r="I42" s="2">
        <v>2.304081</v>
      </c>
      <c r="J42" s="2">
        <v>2.3837640000000002</v>
      </c>
      <c r="K42" s="2">
        <v>2.5165250000000001</v>
      </c>
      <c r="L42" s="2">
        <v>2.442685</v>
      </c>
      <c r="M42">
        <v>3.08</v>
      </c>
      <c r="N42">
        <v>1</v>
      </c>
      <c r="O42" s="2">
        <f t="shared" si="0"/>
        <v>-0.30000000000000004</v>
      </c>
    </row>
    <row r="43" spans="1:15" x14ac:dyDescent="0.3">
      <c r="A43" s="1" t="s">
        <v>41</v>
      </c>
      <c r="B43" s="2">
        <v>2.7732132802903209E-2</v>
      </c>
      <c r="C43" s="2">
        <v>5.5</v>
      </c>
      <c r="D43" s="2">
        <v>3.5</v>
      </c>
      <c r="E43" s="2">
        <v>3.3890880000000001</v>
      </c>
      <c r="F43" s="2">
        <v>3.4515199999999999</v>
      </c>
      <c r="G43" s="2">
        <v>3.119408</v>
      </c>
      <c r="H43" s="2">
        <v>2.5754169999999998</v>
      </c>
      <c r="I43" s="2">
        <v>2.5081530000000001</v>
      </c>
      <c r="J43" s="2">
        <v>2.507098</v>
      </c>
      <c r="K43" s="2">
        <v>2.5157630000000002</v>
      </c>
      <c r="L43" s="2">
        <v>2.4020950000000001</v>
      </c>
      <c r="M43">
        <v>3.238</v>
      </c>
      <c r="N43">
        <v>0.5</v>
      </c>
      <c r="O43" s="2">
        <f t="shared" si="0"/>
        <v>-0.5</v>
      </c>
    </row>
    <row r="44" spans="1:15" x14ac:dyDescent="0.3">
      <c r="A44" s="1" t="s">
        <v>42</v>
      </c>
      <c r="B44" s="2">
        <v>-1.1203934429104834E-6</v>
      </c>
      <c r="C44" s="2">
        <v>5.3</v>
      </c>
      <c r="D44" s="2">
        <v>3.5</v>
      </c>
      <c r="E44" s="2">
        <v>3.478634</v>
      </c>
      <c r="F44" s="2">
        <v>3.4153099999999998</v>
      </c>
      <c r="G44" s="2">
        <v>3.0155479999999999</v>
      </c>
      <c r="H44" s="2">
        <v>2.5346549999999999</v>
      </c>
      <c r="I44" s="2">
        <v>2.5066999999999999</v>
      </c>
      <c r="J44" s="2">
        <v>2.5434070000000002</v>
      </c>
      <c r="K44" s="2">
        <v>2.6246900000000002</v>
      </c>
      <c r="L44" s="2">
        <v>2.5502690000000001</v>
      </c>
      <c r="M44">
        <v>3.4020000000000001</v>
      </c>
      <c r="N44">
        <v>-0.2</v>
      </c>
      <c r="O44" s="2">
        <f t="shared" si="0"/>
        <v>-0.7</v>
      </c>
    </row>
    <row r="45" spans="1:15" x14ac:dyDescent="0.3">
      <c r="A45" s="1" t="s">
        <v>43</v>
      </c>
      <c r="B45" s="2">
        <v>-5.9043871669066661E-3</v>
      </c>
      <c r="C45" s="2">
        <v>5.2</v>
      </c>
      <c r="D45" s="2">
        <v>3.75</v>
      </c>
      <c r="E45" s="2">
        <v>3.461452</v>
      </c>
      <c r="F45" s="2">
        <v>3.380369</v>
      </c>
      <c r="G45" s="2">
        <v>2.9548770000000002</v>
      </c>
      <c r="H45" s="2">
        <v>2.5164740000000001</v>
      </c>
      <c r="I45" s="2">
        <v>2.5134789999999998</v>
      </c>
      <c r="J45" s="2">
        <v>2.5706069999999999</v>
      </c>
      <c r="K45" s="2">
        <v>2.6525069999999999</v>
      </c>
      <c r="L45" s="2">
        <v>2.5492650000000001</v>
      </c>
      <c r="M45">
        <v>3.6419999999999999</v>
      </c>
      <c r="N45">
        <v>-1.3</v>
      </c>
      <c r="O45" s="2">
        <f t="shared" si="0"/>
        <v>-1.1000000000000001</v>
      </c>
    </row>
    <row r="46" spans="1:15" x14ac:dyDescent="0.3">
      <c r="A46" s="1" t="s">
        <v>44</v>
      </c>
      <c r="B46" s="2">
        <v>-5.7116138738111388E-3</v>
      </c>
      <c r="C46" s="2">
        <v>4.3</v>
      </c>
      <c r="D46" s="2">
        <v>4</v>
      </c>
      <c r="E46" s="2">
        <v>3.7005150000000002</v>
      </c>
      <c r="F46" s="2">
        <v>3.51464</v>
      </c>
      <c r="G46" s="2">
        <v>3.157222</v>
      </c>
      <c r="H46" s="2">
        <v>2.7784800000000001</v>
      </c>
      <c r="I46" s="2">
        <v>2.79128</v>
      </c>
      <c r="J46" s="2">
        <v>2.8762759999999998</v>
      </c>
      <c r="K46" s="2">
        <v>3.0389949999999999</v>
      </c>
      <c r="L46" s="2">
        <v>2.9746299999999999</v>
      </c>
      <c r="M46">
        <v>3.7469999999999999</v>
      </c>
      <c r="N46">
        <v>-1.2</v>
      </c>
      <c r="O46" s="2">
        <f t="shared" si="0"/>
        <v>0.10000000000000009</v>
      </c>
    </row>
    <row r="47" spans="1:15" x14ac:dyDescent="0.3">
      <c r="A47" s="1" t="s">
        <v>45</v>
      </c>
      <c r="B47" s="2">
        <v>-1.0597840080994736E-2</v>
      </c>
      <c r="C47" s="2">
        <v>2.9</v>
      </c>
      <c r="D47" s="2">
        <v>4</v>
      </c>
      <c r="E47" s="2">
        <v>3.8201689999999999</v>
      </c>
      <c r="F47" s="2">
        <v>3.3875190000000002</v>
      </c>
      <c r="G47" s="2">
        <v>2.987927</v>
      </c>
      <c r="H47" s="2">
        <v>2.6810649999999998</v>
      </c>
      <c r="I47" s="2">
        <v>2.7163300000000001</v>
      </c>
      <c r="J47" s="2">
        <v>2.822673</v>
      </c>
      <c r="K47" s="2">
        <v>3.0669759999999999</v>
      </c>
      <c r="L47" s="2">
        <v>3.0889380000000002</v>
      </c>
      <c r="M47">
        <v>3.9009999999999998</v>
      </c>
      <c r="N47">
        <v>-1</v>
      </c>
      <c r="O47" s="2">
        <f t="shared" si="0"/>
        <v>0.19999999999999996</v>
      </c>
    </row>
    <row r="48" spans="1:15" x14ac:dyDescent="0.3">
      <c r="A48" s="1" t="s">
        <v>46</v>
      </c>
      <c r="B48" s="2">
        <v>-2.1356255038806893E-4</v>
      </c>
      <c r="C48" s="2">
        <v>2.4</v>
      </c>
      <c r="D48" s="2">
        <v>4</v>
      </c>
      <c r="E48" s="2">
        <v>3.7830650000000001</v>
      </c>
      <c r="F48" s="2">
        <v>3.2649720000000002</v>
      </c>
      <c r="G48" s="2">
        <v>2.8061240000000001</v>
      </c>
      <c r="H48" s="2">
        <v>2.41222</v>
      </c>
      <c r="I48" s="2">
        <v>2.4297939999999998</v>
      </c>
      <c r="J48" s="2">
        <v>2.528502</v>
      </c>
      <c r="K48" s="2">
        <v>2.7658149999999999</v>
      </c>
      <c r="L48" s="2">
        <v>2.7707090000000001</v>
      </c>
      <c r="M48">
        <v>3.9020000000000001</v>
      </c>
      <c r="N48">
        <v>-0.9</v>
      </c>
      <c r="O48" s="2">
        <f t="shared" si="0"/>
        <v>9.9999999999999978E-2</v>
      </c>
    </row>
    <row r="49" spans="1:15" x14ac:dyDescent="0.3">
      <c r="A49" s="1" t="s">
        <v>47</v>
      </c>
      <c r="B49" s="2">
        <v>-2.0043193015313321E-3</v>
      </c>
      <c r="C49" s="2">
        <v>2.9</v>
      </c>
      <c r="D49" s="2">
        <v>4</v>
      </c>
      <c r="E49" s="2">
        <v>3.7829670000000002</v>
      </c>
      <c r="F49" s="2">
        <v>3.0454300000000001</v>
      </c>
      <c r="G49" s="2">
        <v>2.4363459999999999</v>
      </c>
      <c r="H49" s="2">
        <v>1.8837759999999999</v>
      </c>
      <c r="I49" s="2">
        <v>1.9173990000000001</v>
      </c>
      <c r="J49" s="2">
        <v>2.080886</v>
      </c>
      <c r="K49" s="2">
        <v>2.3901379999999999</v>
      </c>
      <c r="L49" s="2">
        <v>2.3475929999999998</v>
      </c>
      <c r="M49">
        <v>3.9020000000000001</v>
      </c>
      <c r="N49">
        <v>0.1</v>
      </c>
      <c r="O49" s="2">
        <f t="shared" si="0"/>
        <v>1</v>
      </c>
    </row>
    <row r="50" spans="1:15" x14ac:dyDescent="0.3">
      <c r="A50" s="1" t="s">
        <v>48</v>
      </c>
      <c r="B50" s="2">
        <v>-1.6046405587542445E-2</v>
      </c>
      <c r="C50" s="2">
        <v>2.8</v>
      </c>
      <c r="D50" s="2">
        <v>4</v>
      </c>
      <c r="E50" s="2">
        <v>3.8095330000000001</v>
      </c>
      <c r="F50" s="2">
        <v>3.0512100000000002</v>
      </c>
      <c r="G50" s="2">
        <v>2.4737330000000002</v>
      </c>
      <c r="H50" s="2">
        <v>2.047361</v>
      </c>
      <c r="I50" s="2">
        <v>2.1098170000000001</v>
      </c>
      <c r="J50" s="2">
        <v>2.2658019999999999</v>
      </c>
      <c r="K50" s="2">
        <v>2.5053269999999999</v>
      </c>
      <c r="L50" s="2">
        <v>2.4370590000000001</v>
      </c>
      <c r="M50">
        <v>3.9039999999999999</v>
      </c>
      <c r="N50">
        <v>0.1</v>
      </c>
      <c r="O50" s="2">
        <f t="shared" si="0"/>
        <v>0</v>
      </c>
    </row>
    <row r="51" spans="1:15" x14ac:dyDescent="0.3">
      <c r="A51" s="1" t="s">
        <v>49</v>
      </c>
      <c r="B51" s="2">
        <v>-1.3740406301733898E-2</v>
      </c>
      <c r="C51" s="2">
        <v>2.6</v>
      </c>
      <c r="D51" s="2">
        <v>4</v>
      </c>
      <c r="E51" s="2">
        <v>3.8240560000000001</v>
      </c>
      <c r="F51" s="2">
        <v>3.3332250000000001</v>
      </c>
      <c r="G51" s="2">
        <v>2.9012440000000002</v>
      </c>
      <c r="H51" s="2">
        <v>2.4266519999999998</v>
      </c>
      <c r="I51" s="2">
        <v>2.4034</v>
      </c>
      <c r="J51" s="2">
        <v>2.4801099999999998</v>
      </c>
      <c r="K51" s="2">
        <v>2.652644</v>
      </c>
      <c r="L51" s="2">
        <v>2.5586959999999999</v>
      </c>
      <c r="M51">
        <v>3.907</v>
      </c>
      <c r="N51">
        <v>0.4</v>
      </c>
      <c r="O51" s="2">
        <f t="shared" si="0"/>
        <v>0.30000000000000004</v>
      </c>
    </row>
    <row r="52" spans="1:15" x14ac:dyDescent="0.3">
      <c r="A52" s="1" t="s">
        <v>50</v>
      </c>
      <c r="B52" s="2">
        <v>-2.0685912232558223E-2</v>
      </c>
      <c r="C52" s="2">
        <v>2.4</v>
      </c>
      <c r="D52" s="2">
        <v>4</v>
      </c>
      <c r="E52" s="2">
        <v>3.7764950000000002</v>
      </c>
      <c r="F52" s="2">
        <v>3.2557179999999999</v>
      </c>
      <c r="G52" s="2">
        <v>2.7981959999999999</v>
      </c>
      <c r="H52" s="2">
        <v>2.2989220000000001</v>
      </c>
      <c r="I52" s="2">
        <v>2.2766280000000001</v>
      </c>
      <c r="J52" s="2">
        <v>2.3599350000000001</v>
      </c>
      <c r="K52" s="2">
        <v>2.5445760000000002</v>
      </c>
      <c r="L52" s="2">
        <v>2.4524029999999999</v>
      </c>
      <c r="M52">
        <v>3.907</v>
      </c>
      <c r="N52">
        <v>0.8</v>
      </c>
      <c r="O52" s="2">
        <f t="shared" si="0"/>
        <v>0.4</v>
      </c>
    </row>
    <row r="53" spans="1:15" x14ac:dyDescent="0.3">
      <c r="A53" s="1" t="s">
        <v>51</v>
      </c>
      <c r="B53" s="2">
        <v>-1.3214749578732032E-2</v>
      </c>
      <c r="C53" s="2">
        <v>2.4</v>
      </c>
      <c r="D53" s="2">
        <v>4</v>
      </c>
      <c r="E53" s="2">
        <v>3.7411780000000001</v>
      </c>
      <c r="F53" s="2">
        <v>3.3524609999999999</v>
      </c>
      <c r="G53" s="2">
        <v>2.9967570000000001</v>
      </c>
      <c r="H53" s="2">
        <v>2.5804909999999999</v>
      </c>
      <c r="I53" s="2">
        <v>2.5590440000000001</v>
      </c>
      <c r="J53" s="2">
        <v>2.63687</v>
      </c>
      <c r="K53" s="2">
        <v>2.7937789999999998</v>
      </c>
      <c r="L53" s="2">
        <v>2.638954</v>
      </c>
      <c r="M53">
        <v>3.9079999999999999</v>
      </c>
      <c r="N53">
        <v>1.4</v>
      </c>
      <c r="O53" s="2">
        <f t="shared" si="0"/>
        <v>0.59999999999999987</v>
      </c>
    </row>
    <row r="54" spans="1:15" x14ac:dyDescent="0.3">
      <c r="A54" s="1" t="s">
        <v>52</v>
      </c>
      <c r="B54" s="2">
        <v>-2.6367296397053153E-2</v>
      </c>
      <c r="C54" s="2">
        <v>2.6</v>
      </c>
      <c r="D54" s="2">
        <v>4</v>
      </c>
      <c r="E54" s="2">
        <v>3.674998</v>
      </c>
      <c r="F54" s="2">
        <v>3.3347199999999999</v>
      </c>
      <c r="G54" s="2">
        <v>3.0193479999999999</v>
      </c>
      <c r="H54" s="2">
        <v>2.6425000000000001</v>
      </c>
      <c r="I54" s="2">
        <v>2.62365</v>
      </c>
      <c r="J54" s="2">
        <v>2.701559</v>
      </c>
      <c r="K54" s="2">
        <v>2.8711660000000001</v>
      </c>
      <c r="L54" s="2">
        <v>2.7191100000000001</v>
      </c>
      <c r="M54">
        <v>3.907</v>
      </c>
      <c r="N54">
        <v>1.5</v>
      </c>
      <c r="O54" s="2">
        <f t="shared" si="0"/>
        <v>0.10000000000000009</v>
      </c>
    </row>
    <row r="55" spans="1:15" x14ac:dyDescent="0.3">
      <c r="A55" s="1" t="s">
        <v>53</v>
      </c>
      <c r="B55" s="2">
        <v>-1.1645097149772354E-2</v>
      </c>
      <c r="C55" s="2">
        <v>2.5</v>
      </c>
      <c r="D55" s="2">
        <v>3.75</v>
      </c>
      <c r="E55" s="2">
        <v>3.4139699999999999</v>
      </c>
      <c r="F55" s="2">
        <v>3.099345</v>
      </c>
      <c r="G55" s="2">
        <v>2.7993709999999998</v>
      </c>
      <c r="H55" s="2">
        <v>2.423419</v>
      </c>
      <c r="I55" s="2">
        <v>2.4056099999999998</v>
      </c>
      <c r="J55" s="2">
        <v>2.5019110000000002</v>
      </c>
      <c r="K55" s="2">
        <v>2.7660439999999999</v>
      </c>
      <c r="L55" s="2">
        <v>2.6401400000000002</v>
      </c>
      <c r="M55">
        <v>3.7490000000000001</v>
      </c>
      <c r="N55">
        <v>2.2000000000000002</v>
      </c>
      <c r="O55" s="2">
        <f t="shared" si="0"/>
        <v>0.70000000000000018</v>
      </c>
    </row>
    <row r="56" spans="1:15" x14ac:dyDescent="0.3">
      <c r="A56" s="1" t="s">
        <v>54</v>
      </c>
      <c r="B56" s="2">
        <v>-1.7534859723294716E-2</v>
      </c>
      <c r="C56" s="2">
        <v>2.6</v>
      </c>
      <c r="D56" s="2">
        <v>3.75</v>
      </c>
      <c r="E56" s="2">
        <v>3.2890779999999999</v>
      </c>
      <c r="F56" s="2">
        <v>2.923089</v>
      </c>
      <c r="G56" s="2">
        <v>2.5822150000000001</v>
      </c>
      <c r="H56" s="2">
        <v>2.1876899999999999</v>
      </c>
      <c r="I56" s="2">
        <v>2.192625</v>
      </c>
      <c r="J56" s="2">
        <v>2.3290700000000002</v>
      </c>
      <c r="K56" s="2">
        <v>2.6505909999999999</v>
      </c>
      <c r="L56" s="2">
        <v>2.5163530000000001</v>
      </c>
      <c r="M56">
        <v>3.6629999999999998</v>
      </c>
      <c r="N56">
        <v>2.2999999999999998</v>
      </c>
      <c r="O56" s="2">
        <f t="shared" si="0"/>
        <v>9.9999999999999645E-2</v>
      </c>
    </row>
    <row r="57" spans="1:15" x14ac:dyDescent="0.3">
      <c r="A57" s="1" t="s">
        <v>55</v>
      </c>
      <c r="B57" s="2">
        <v>-1.4168219140013427E-2</v>
      </c>
      <c r="C57" s="2">
        <v>2.2000000000000002</v>
      </c>
      <c r="D57" s="2">
        <v>3.75</v>
      </c>
      <c r="E57" s="2">
        <v>3.2588750000000002</v>
      </c>
      <c r="F57" s="2">
        <v>2.7391559999999999</v>
      </c>
      <c r="G57" s="2">
        <v>2.359146</v>
      </c>
      <c r="H57" s="2">
        <v>2.1401159999999999</v>
      </c>
      <c r="I57" s="2">
        <v>2.2286640000000002</v>
      </c>
      <c r="J57" s="2">
        <v>2.38883</v>
      </c>
      <c r="K57" s="2">
        <v>2.5877720000000002</v>
      </c>
      <c r="L57" s="2">
        <v>2.4435880000000001</v>
      </c>
      <c r="M57">
        <v>3.6629999999999998</v>
      </c>
      <c r="N57">
        <v>2.9</v>
      </c>
      <c r="O57" s="2">
        <f t="shared" si="0"/>
        <v>0.60000000000000009</v>
      </c>
    </row>
    <row r="58" spans="1:15" x14ac:dyDescent="0.3">
      <c r="A58" s="1" t="s">
        <v>56</v>
      </c>
      <c r="B58" s="2">
        <v>-2.0073974415296014E-2</v>
      </c>
      <c r="C58" s="2">
        <v>1.7</v>
      </c>
      <c r="D58" s="2">
        <v>3.5</v>
      </c>
      <c r="E58" s="2">
        <v>3.116015</v>
      </c>
      <c r="F58" s="2">
        <v>2.4341189999999999</v>
      </c>
      <c r="G58" s="2">
        <v>2.034284</v>
      </c>
      <c r="H58" s="2">
        <v>1.9290229999999999</v>
      </c>
      <c r="I58" s="2">
        <v>2.0526339999999998</v>
      </c>
      <c r="J58" s="2">
        <v>2.2367870000000001</v>
      </c>
      <c r="K58" s="2">
        <v>2.5114109999999998</v>
      </c>
      <c r="L58" s="2">
        <v>2.4455360000000002</v>
      </c>
      <c r="M58">
        <v>3.5569999999999999</v>
      </c>
      <c r="N58">
        <v>3.2</v>
      </c>
      <c r="O58" s="2">
        <f t="shared" si="0"/>
        <v>0.30000000000000027</v>
      </c>
    </row>
    <row r="59" spans="1:15" x14ac:dyDescent="0.3">
      <c r="A59" s="1" t="s">
        <v>57</v>
      </c>
      <c r="B59" s="2">
        <v>-1.772739162483461E-2</v>
      </c>
      <c r="C59" s="2">
        <v>2</v>
      </c>
      <c r="D59" s="2">
        <v>3.25</v>
      </c>
      <c r="E59" s="2">
        <v>2.8845689999999999</v>
      </c>
      <c r="F59" s="2">
        <v>2.4732660000000002</v>
      </c>
      <c r="G59" s="2">
        <v>2.2433130000000001</v>
      </c>
      <c r="H59" s="2">
        <v>2.2457569999999998</v>
      </c>
      <c r="I59" s="2">
        <v>2.3639000000000001</v>
      </c>
      <c r="J59" s="2">
        <v>2.5209459999999999</v>
      </c>
      <c r="K59" s="2">
        <v>2.6984569999999999</v>
      </c>
      <c r="L59" s="2">
        <v>2.5817070000000002</v>
      </c>
      <c r="M59">
        <v>3.3380000000000001</v>
      </c>
      <c r="N59">
        <v>3.4</v>
      </c>
      <c r="O59" s="2">
        <f t="shared" si="0"/>
        <v>0.19999999999999973</v>
      </c>
    </row>
    <row r="60" spans="1:15" x14ac:dyDescent="0.3">
      <c r="A60" s="1" t="s">
        <v>58</v>
      </c>
      <c r="B60" s="2">
        <v>-1.7446702151667104E-2</v>
      </c>
      <c r="C60" s="2">
        <v>2.2000000000000002</v>
      </c>
      <c r="D60" s="2">
        <v>3.25</v>
      </c>
      <c r="E60" s="2">
        <v>2.7269899999999998</v>
      </c>
      <c r="F60" s="2">
        <v>2.1845270000000001</v>
      </c>
      <c r="G60" s="2">
        <v>1.9120079999999999</v>
      </c>
      <c r="H60" s="2">
        <v>1.9226829999999999</v>
      </c>
      <c r="I60" s="2">
        <v>2.0385080000000002</v>
      </c>
      <c r="J60" s="2">
        <v>2.185225</v>
      </c>
      <c r="K60" s="2">
        <v>2.3573339999999998</v>
      </c>
      <c r="L60" s="2">
        <v>2.2714979999999998</v>
      </c>
      <c r="M60">
        <v>3.1640000000000001</v>
      </c>
      <c r="N60">
        <v>3.8</v>
      </c>
      <c r="O60" s="2">
        <f t="shared" si="0"/>
        <v>0.39999999999999991</v>
      </c>
    </row>
    <row r="61" spans="1:15" x14ac:dyDescent="0.3">
      <c r="A61" s="1" t="s">
        <v>59</v>
      </c>
      <c r="B61" s="2">
        <v>-2.0266842226523529E-2</v>
      </c>
      <c r="C61" s="2">
        <v>2.4</v>
      </c>
      <c r="D61" s="2">
        <v>3</v>
      </c>
      <c r="E61" s="2">
        <v>2.575177</v>
      </c>
      <c r="F61" s="2">
        <v>2.1786460000000001</v>
      </c>
      <c r="G61" s="2">
        <v>2.0111509999999999</v>
      </c>
      <c r="H61" s="2">
        <v>2.1300180000000002</v>
      </c>
      <c r="I61" s="2">
        <v>2.275102</v>
      </c>
      <c r="J61" s="2">
        <v>2.4473039999999999</v>
      </c>
      <c r="K61" s="2">
        <v>2.6291039999999999</v>
      </c>
      <c r="L61" s="2">
        <v>2.513773</v>
      </c>
      <c r="M61">
        <v>3.0640000000000001</v>
      </c>
      <c r="N61">
        <v>3.6</v>
      </c>
      <c r="O61" s="2">
        <f t="shared" si="0"/>
        <v>-0.19999999999999973</v>
      </c>
    </row>
    <row r="62" spans="1:15" x14ac:dyDescent="0.3">
      <c r="A62" s="1" t="s">
        <v>60</v>
      </c>
      <c r="B62" s="2">
        <v>-1.4823762784439865E-2</v>
      </c>
      <c r="C62" s="2">
        <v>2.5</v>
      </c>
      <c r="D62" s="2">
        <v>3</v>
      </c>
      <c r="E62" s="2">
        <v>2.451133</v>
      </c>
      <c r="F62" s="2">
        <v>2.1652619999999998</v>
      </c>
      <c r="G62" s="2">
        <v>2.055215</v>
      </c>
      <c r="H62" s="2">
        <v>2.2051639999999999</v>
      </c>
      <c r="I62" s="2">
        <v>2.3534410000000001</v>
      </c>
      <c r="J62" s="2">
        <v>2.53043</v>
      </c>
      <c r="K62" s="2">
        <v>2.7384140000000001</v>
      </c>
      <c r="L62" s="2">
        <v>2.647475</v>
      </c>
      <c r="M62">
        <v>2.919</v>
      </c>
      <c r="N62">
        <v>3.7</v>
      </c>
      <c r="O62" s="2">
        <f t="shared" si="0"/>
        <v>0.10000000000000009</v>
      </c>
    </row>
    <row r="63" spans="1:15" x14ac:dyDescent="0.3">
      <c r="A63" s="1" t="s">
        <v>61</v>
      </c>
      <c r="B63" s="2">
        <v>-1.2440648907316998E-3</v>
      </c>
      <c r="C63" s="2">
        <v>2.2999999999999998</v>
      </c>
      <c r="D63" s="2">
        <v>2.75</v>
      </c>
      <c r="E63" s="2">
        <v>2.235941</v>
      </c>
      <c r="F63" s="2">
        <v>2.0618219999999998</v>
      </c>
      <c r="G63" s="2">
        <v>1.9745360000000001</v>
      </c>
      <c r="H63" s="2">
        <v>2.1074090000000001</v>
      </c>
      <c r="I63" s="2">
        <v>2.2675589999999999</v>
      </c>
      <c r="J63" s="2">
        <v>2.4692620000000001</v>
      </c>
      <c r="K63" s="2">
        <v>2.7129829999999999</v>
      </c>
      <c r="L63" s="2">
        <v>2.617245</v>
      </c>
      <c r="M63">
        <v>2.6909999999999998</v>
      </c>
      <c r="N63">
        <v>3.9</v>
      </c>
      <c r="O63" s="2">
        <f t="shared" si="0"/>
        <v>0.19999999999999973</v>
      </c>
    </row>
    <row r="64" spans="1:15" x14ac:dyDescent="0.3">
      <c r="A64" s="1" t="s">
        <v>62</v>
      </c>
      <c r="B64" s="2">
        <v>2.1147612009486672E-2</v>
      </c>
      <c r="C64" s="2">
        <v>2.2000000000000002</v>
      </c>
      <c r="D64" s="2">
        <v>2.5</v>
      </c>
      <c r="E64" s="2">
        <v>2.1800169999999999</v>
      </c>
      <c r="F64" s="2">
        <v>2.0347149999999998</v>
      </c>
      <c r="G64" s="2">
        <v>1.994685</v>
      </c>
      <c r="H64" s="2">
        <v>2.271935</v>
      </c>
      <c r="I64" s="2">
        <v>2.5063469999999999</v>
      </c>
      <c r="J64" s="2">
        <v>2.7817289999999999</v>
      </c>
      <c r="K64" s="2">
        <v>3.089496</v>
      </c>
      <c r="L64" s="2">
        <v>2.9726680000000001</v>
      </c>
      <c r="M64">
        <v>2.4990000000000001</v>
      </c>
      <c r="N64">
        <v>3.7</v>
      </c>
      <c r="O64" s="2">
        <f t="shared" ref="O64:O66" si="1">N64-N63</f>
        <v>-0.19999999999999973</v>
      </c>
    </row>
    <row r="65" spans="1:15" x14ac:dyDescent="0.3">
      <c r="A65" s="1" t="s">
        <v>63</v>
      </c>
      <c r="B65" s="2">
        <v>-5.7777786771238127E-3</v>
      </c>
      <c r="C65" s="2">
        <v>2.2000000000000002</v>
      </c>
      <c r="D65" s="2">
        <v>2.25</v>
      </c>
      <c r="E65" s="2">
        <v>1.88456</v>
      </c>
      <c r="F65" s="2">
        <v>1.7399629999999999</v>
      </c>
      <c r="G65" s="2">
        <v>1.699506</v>
      </c>
      <c r="H65" s="2">
        <v>1.9935449999999999</v>
      </c>
      <c r="I65" s="2">
        <v>2.2497319999999998</v>
      </c>
      <c r="J65" s="2">
        <v>2.55755</v>
      </c>
      <c r="K65" s="2">
        <v>2.9213870000000002</v>
      </c>
      <c r="L65" s="2">
        <v>2.8152550000000001</v>
      </c>
      <c r="M65">
        <v>2.3410000000000002</v>
      </c>
      <c r="N65">
        <v>3.9</v>
      </c>
      <c r="O65" s="2">
        <f t="shared" si="1"/>
        <v>0.19999999999999973</v>
      </c>
    </row>
    <row r="66" spans="1:15" x14ac:dyDescent="0.3">
      <c r="A66" s="1" t="s">
        <v>64</v>
      </c>
      <c r="B66" s="2">
        <v>4.6652988211715041E-3</v>
      </c>
      <c r="C66" s="2">
        <v>1.9</v>
      </c>
      <c r="D66" s="2">
        <v>2.25</v>
      </c>
      <c r="E66" s="2">
        <v>1.863801</v>
      </c>
      <c r="F66" s="2">
        <v>1.77983</v>
      </c>
      <c r="G66" s="2">
        <v>1.780578</v>
      </c>
      <c r="H66" s="2">
        <v>2.0818780000000001</v>
      </c>
      <c r="I66" s="2">
        <v>2.3198159999999999</v>
      </c>
      <c r="J66" s="2">
        <v>2.6100620000000001</v>
      </c>
      <c r="K66" s="2">
        <v>3.0002840000000002</v>
      </c>
      <c r="L66" s="2">
        <v>2.9354209999999998</v>
      </c>
      <c r="M66">
        <v>2.169</v>
      </c>
      <c r="N66">
        <v>3.9</v>
      </c>
      <c r="O66" s="2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Herdal Wehnert</dc:creator>
  <cp:lastModifiedBy>Karl Herdal Wehnert</cp:lastModifiedBy>
  <dcterms:created xsi:type="dcterms:W3CDTF">2025-10-27T23:09:23Z</dcterms:created>
  <dcterms:modified xsi:type="dcterms:W3CDTF">2025-12-10T11:04:12Z</dcterms:modified>
</cp:coreProperties>
</file>